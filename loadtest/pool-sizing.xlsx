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y/DEVELOP/!lesson/ourcode-iot-platform/loadtest/"/>
    </mc:Choice>
  </mc:AlternateContent>
  <xr:revisionPtr revIDLastSave="0" documentId="13_ncr:1_{2E693296-0296-AC46-8A64-0BB218898D80}" xr6:coauthVersionLast="47" xr6:coauthVersionMax="47" xr10:uidLastSave="{00000000-0000-0000-0000-000000000000}"/>
  <bookViews>
    <workbookView xWindow="0" yWindow="760" windowWidth="34560" windowHeight="19580" xr2:uid="{00000000-000D-0000-FFFF-FFFF00000000}"/>
  </bookViews>
  <sheets>
    <sheet name="PoolSiz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20" i="1"/>
  <c r="B18" i="1"/>
  <c r="B17" i="1"/>
  <c r="B10" i="1"/>
  <c r="B11" i="1" s="1"/>
  <c r="B15" i="1" l="1"/>
  <c r="B16" i="1" s="1"/>
  <c r="B21" i="1" l="1"/>
  <c r="B19" i="1"/>
  <c r="B14" i="1"/>
  <c r="B13" i="1"/>
</calcChain>
</file>

<file path=xl/sharedStrings.xml><?xml version="1.0" encoding="utf-8"?>
<sst xmlns="http://schemas.openxmlformats.org/spreadsheetml/2006/main" count="61" uniqueCount="44">
  <si>
    <t>Name</t>
  </si>
  <si>
    <t>Value</t>
  </si>
  <si>
    <t>Units</t>
  </si>
  <si>
    <t>Notes</t>
  </si>
  <si>
    <t>Avg response time</t>
  </si>
  <si>
    <t>ms</t>
  </si>
  <si>
    <t>Input: average end-to-end response time</t>
  </si>
  <si>
    <t>Desired RPS</t>
  </si>
  <si>
    <t>req/s</t>
  </si>
  <si>
    <t>Input: target stable throughput</t>
  </si>
  <si>
    <t>CPU cores (service)</t>
  </si>
  <si>
    <t>cores</t>
  </si>
  <si>
    <t>Input: CPU available to the service</t>
  </si>
  <si>
    <t>Memory available</t>
  </si>
  <si>
    <t>GB</t>
  </si>
  <si>
    <t>Input: memory available to the service</t>
  </si>
  <si>
    <t>Downstream services per request</t>
  </si>
  <si>
    <t>count</t>
  </si>
  <si>
    <t>Input: number of external services called per request</t>
  </si>
  <si>
    <t>Safety factor (headroom)</t>
  </si>
  <si>
    <t>ratio</t>
  </si>
  <si>
    <t>Input: headroom for spikes (1.2–1.5)</t>
  </si>
  <si>
    <t>IO wait factor (threads per core)</t>
  </si>
  <si>
    <t>threads/core</t>
  </si>
  <si>
    <t>Input: for blocking workloads (1–4)</t>
  </si>
  <si>
    <t>Avg response time (s)</t>
  </si>
  <si>
    <t>s</t>
  </si>
  <si>
    <t>Derived</t>
  </si>
  <si>
    <t>Estimated concurrency (Little's Law)</t>
  </si>
  <si>
    <t>requests</t>
  </si>
  <si>
    <t>Tomcat max threads</t>
  </si>
  <si>
    <t>threads</t>
  </si>
  <si>
    <t>Tomcat min spare threads</t>
  </si>
  <si>
    <t>Tomcat accept count</t>
  </si>
  <si>
    <t>connections</t>
  </si>
  <si>
    <t>Feign max connections</t>
  </si>
  <si>
    <t>Feign max per route</t>
  </si>
  <si>
    <t>Feign connection-request-timeout</t>
  </si>
  <si>
    <t>Feign read-timeout</t>
  </si>
  <si>
    <t>DB pool size (blocking)</t>
  </si>
  <si>
    <t>RPS per core</t>
  </si>
  <si>
    <t>req/s/core</t>
  </si>
  <si>
    <t>Memory per thread</t>
  </si>
  <si>
    <t>MB/thread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</si>
</sst>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1" sqref="D21"/>
    </sheetView>
  </sheetViews>
  <sheetFormatPr baseColWidth="10" defaultRowHeight="16" x14ac:dyDescent="0.2"/>
  <cols>
    <col min="1" max="1" width="31" customWidth="1"/>
    <col min="2" max="2" width="5.83203125" bestFit="1" customWidth="1"/>
    <col min="3" max="3" width="11.6640625" bestFit="1" customWidth="1"/>
    <col min="4" max="4" width="45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200</v>
      </c>
      <c r="C2" t="s">
        <v>5</v>
      </c>
      <c r="D2" t="s">
        <v>6</v>
      </c>
    </row>
    <row r="3" spans="1:4" x14ac:dyDescent="0.2">
      <c r="A3" t="s">
        <v>7</v>
      </c>
      <c r="B3">
        <v>200</v>
      </c>
      <c r="C3" t="s">
        <v>8</v>
      </c>
      <c r="D3" t="s">
        <v>9</v>
      </c>
    </row>
    <row r="4" spans="1:4" x14ac:dyDescent="0.2">
      <c r="A4" t="s">
        <v>10</v>
      </c>
      <c r="B4">
        <v>2</v>
      </c>
      <c r="C4" t="s">
        <v>11</v>
      </c>
      <c r="D4" t="s">
        <v>12</v>
      </c>
    </row>
    <row r="5" spans="1:4" x14ac:dyDescent="0.2">
      <c r="A5" t="s">
        <v>13</v>
      </c>
      <c r="B5">
        <v>2</v>
      </c>
      <c r="C5" t="s">
        <v>14</v>
      </c>
      <c r="D5" t="s">
        <v>15</v>
      </c>
    </row>
    <row r="6" spans="1:4" x14ac:dyDescent="0.2">
      <c r="A6" t="s">
        <v>16</v>
      </c>
      <c r="B6">
        <v>2</v>
      </c>
      <c r="C6" t="s">
        <v>17</v>
      </c>
      <c r="D6" t="s">
        <v>18</v>
      </c>
    </row>
    <row r="7" spans="1:4" x14ac:dyDescent="0.2">
      <c r="A7" t="s">
        <v>19</v>
      </c>
      <c r="B7">
        <v>1.2</v>
      </c>
      <c r="C7" t="s">
        <v>20</v>
      </c>
      <c r="D7" t="s">
        <v>21</v>
      </c>
    </row>
    <row r="8" spans="1:4" x14ac:dyDescent="0.2">
      <c r="A8" t="s">
        <v>22</v>
      </c>
      <c r="B8">
        <v>2</v>
      </c>
      <c r="C8" t="s">
        <v>23</v>
      </c>
      <c r="D8" t="s">
        <v>24</v>
      </c>
    </row>
    <row r="10" spans="1:4" x14ac:dyDescent="0.2">
      <c r="A10" t="s">
        <v>25</v>
      </c>
      <c r="B10">
        <f>B2/1000</f>
        <v>0.2</v>
      </c>
      <c r="C10" t="s">
        <v>26</v>
      </c>
      <c r="D10" t="s">
        <v>27</v>
      </c>
    </row>
    <row r="11" spans="1:4" x14ac:dyDescent="0.2">
      <c r="A11" t="s">
        <v>28</v>
      </c>
      <c r="B11">
        <f>B3*B10</f>
        <v>40</v>
      </c>
      <c r="C11" t="s">
        <v>29</v>
      </c>
      <c r="D11" t="s">
        <v>27</v>
      </c>
    </row>
    <row r="12" spans="1:4" x14ac:dyDescent="0.2">
      <c r="A12" t="s">
        <v>30</v>
      </c>
      <c r="B12">
        <f>ROUNDUP(B11*B7,0)</f>
        <v>48</v>
      </c>
      <c r="C12" t="s">
        <v>31</v>
      </c>
      <c r="D12" t="s">
        <v>27</v>
      </c>
    </row>
    <row r="13" spans="1:4" x14ac:dyDescent="0.2">
      <c r="A13" t="s">
        <v>32</v>
      </c>
      <c r="B13">
        <f>ROUNDUP(B12*0.1,0)</f>
        <v>5</v>
      </c>
      <c r="C13" t="s">
        <v>31</v>
      </c>
      <c r="D13" t="s">
        <v>27</v>
      </c>
    </row>
    <row r="14" spans="1:4" x14ac:dyDescent="0.2">
      <c r="A14" t="s">
        <v>33</v>
      </c>
      <c r="B14">
        <f>MAX(100,B12)</f>
        <v>100</v>
      </c>
      <c r="C14" t="s">
        <v>34</v>
      </c>
      <c r="D14" t="s">
        <v>27</v>
      </c>
    </row>
    <row r="15" spans="1:4" x14ac:dyDescent="0.2">
      <c r="A15" t="s">
        <v>35</v>
      </c>
      <c r="B15">
        <f>ROUNDUP(B11*1.5,0)</f>
        <v>60</v>
      </c>
      <c r="C15" t="s">
        <v>34</v>
      </c>
      <c r="D15" t="s">
        <v>27</v>
      </c>
    </row>
    <row r="16" spans="1:4" x14ac:dyDescent="0.2">
      <c r="A16" t="s">
        <v>36</v>
      </c>
      <c r="B16">
        <f>ROUNDUP(B15/MAX(1,B6),0)</f>
        <v>30</v>
      </c>
      <c r="C16" t="s">
        <v>34</v>
      </c>
      <c r="D16" t="s">
        <v>27</v>
      </c>
    </row>
    <row r="17" spans="1:4" x14ac:dyDescent="0.2">
      <c r="A17" t="s">
        <v>37</v>
      </c>
      <c r="B17">
        <f>ROUNDUP(B2*0.8,0)</f>
        <v>160</v>
      </c>
      <c r="C17" t="s">
        <v>5</v>
      </c>
      <c r="D17" t="s">
        <v>27</v>
      </c>
    </row>
    <row r="18" spans="1:4" x14ac:dyDescent="0.2">
      <c r="A18" t="s">
        <v>38</v>
      </c>
      <c r="B18">
        <f>ROUNDUP(B2*2,0)</f>
        <v>400</v>
      </c>
      <c r="C18" t="s">
        <v>5</v>
      </c>
      <c r="D18" t="s">
        <v>27</v>
      </c>
    </row>
    <row r="19" spans="1:4" x14ac:dyDescent="0.2">
      <c r="A19" t="s">
        <v>39</v>
      </c>
      <c r="B19">
        <f>MIN(ROUNDUP(B4*B8,0),B12)</f>
        <v>4</v>
      </c>
      <c r="C19" t="s">
        <v>34</v>
      </c>
      <c r="D19" t="s">
        <v>27</v>
      </c>
    </row>
    <row r="20" spans="1:4" x14ac:dyDescent="0.2">
      <c r="A20" t="s">
        <v>40</v>
      </c>
      <c r="B20">
        <f>B3/B4</f>
        <v>100</v>
      </c>
      <c r="C20" t="s">
        <v>41</v>
      </c>
      <c r="D20" t="s">
        <v>27</v>
      </c>
    </row>
    <row r="21" spans="1:4" x14ac:dyDescent="0.2">
      <c r="A21" t="s">
        <v>42</v>
      </c>
      <c r="B21">
        <f>IF(B12=0,0,ROUNDUP(B5*1024/B12,0))</f>
        <v>43</v>
      </c>
      <c r="C21" t="s">
        <v>43</v>
      </c>
      <c r="D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PoolSizing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 Tsaregorodtsev</cp:lastModifiedBy>
  <dcterms:modified xsi:type="dcterms:W3CDTF">2026-02-20T09:17:07Z</dcterms:modified>
</cp:coreProperties>
</file>